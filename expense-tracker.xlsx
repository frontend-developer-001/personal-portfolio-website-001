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Tracker" sheetId="1" r:id="rId5"/>
  </sheets>
  <definedNames/>
  <calcPr/>
</workbook>
</file>

<file path=xl/sharedStrings.xml><?xml version="1.0" encoding="utf-8"?>
<sst xmlns="http://schemas.openxmlformats.org/spreadsheetml/2006/main" count="33" uniqueCount="33">
  <si>
    <t>Yearly Saving 2025</t>
  </si>
  <si>
    <t>💰 Total Income</t>
  </si>
  <si>
    <t>💸 Total Expenses</t>
  </si>
  <si>
    <t>🏦 Total Savings</t>
  </si>
  <si>
    <t>📈 Savings Rate</t>
  </si>
  <si>
    <t>Monthly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</si>
  <si>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</si>
  <si>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</si>
  <si>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</si>
  <si>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</si>
  <si>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</si>
  <si>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</si>
  <si>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</si>
  <si>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</si>
  <si>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</si>
  <si>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</si>
  <si>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</si>
  <si>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</si>
  <si>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Job Salary</t>
  </si>
  <si>
    <t>Tutions</t>
  </si>
  <si>
    <t>Freelancing</t>
  </si>
  <si>
    <t>Total Income</t>
  </si>
  <si>
    <t>Monthly Expenses</t>
  </si>
  <si>
    <t>House Rent</t>
  </si>
  <si>
    <t>Electricity Bills</t>
  </si>
  <si>
    <t>Water Charges</t>
  </si>
  <si>
    <t>Grocery</t>
  </si>
  <si>
    <t xml:space="preserve">Fuel </t>
  </si>
  <si>
    <t xml:space="preserve">Total Expenses </t>
  </si>
  <si>
    <t>Monthly Savings</t>
  </si>
  <si>
    <t>Total Savings</t>
  </si>
  <si>
    <t>Monthly Savings Rate</t>
  </si>
  <si>
    <t>Total Savings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</si>
</sst>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PKR ]#,##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D7E31"/>
        <bgColor rgb="FFED7E31"/>
      </patternFill>
    </fill>
    <fill>
      <patternFill patternType="solid">
        <fgColor rgb="FFFEC100"/>
        <bgColor rgb="FFFEC100"/>
      </patternFill>
    </fill>
    <fill>
      <patternFill patternType="solid">
        <fgColor rgb="FF589BD4"/>
        <bgColor rgb="FF589BD4"/>
      </patternFill>
    </fill>
    <fill>
      <patternFill patternType="solid">
        <fgColor rgb="FF70AC45"/>
        <bgColor rgb="FF70AC45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164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2" fillId="0" fontId="3" numFmtId="10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Income vs Total Expenses vs Total Savings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'Expense Tracker'!$B$12</c:f>
            </c:strRef>
          </c:tx>
          <c:spPr>
            <a:ln cmpd="sng" w="9525">
              <a:solidFill>
                <a:srgbClr val="5B9BD5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'Expense Tracker'!$C$8:$N$8</c:f>
            </c:strRef>
          </c:cat>
          <c:val>
            <c:numRef>
              <c:f>'Expense Tracker'!$C$12:$N$12</c:f>
              <c:numCache/>
            </c:numRef>
          </c:val>
          <c:smooth val="0"/>
        </c:ser>
        <c:ser>
          <c:idx val="1"/>
          <c:order val="1"/>
          <c:tx>
            <c:strRef>
              <c:f>'Expense Tracker'!$B$20</c:f>
            </c:strRef>
          </c:tx>
          <c:spPr>
            <a:ln cmpd="sng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'Expense Tracker'!$C$8:$N$8</c:f>
            </c:strRef>
          </c:cat>
          <c:val>
            <c:numRef>
              <c:f>'Expense Tracker'!$C$20:$N$20</c:f>
              <c:numCache/>
            </c:numRef>
          </c:val>
          <c:smooth val="0"/>
        </c:ser>
        <c:ser>
          <c:idx val="2"/>
          <c:order val="2"/>
          <c:tx>
            <c:strRef>
              <c:f>'Expense Tracker'!$B$23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'Expense Tracker'!$C$8:$N$8</c:f>
            </c:strRef>
          </c:cat>
          <c:val>
            <c:numRef>
              <c:f>'Expense Tracker'!$C$23:$N$23</c:f>
              <c:numCache/>
            </c:numRef>
          </c:val>
          <c:smooth val="0"/>
        </c:ser>
        <c:axId val="1455748080"/>
        <c:axId val="154195608"/>
      </c:lineChart>
      <c:catAx>
        <c:axId val="145574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95608"/>
      </c:catAx>
      <c:valAx>
        <c:axId val="154195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Total Income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748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Monthly Expenses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'Expense Tracker'!$B$15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'Expense Tracker'!$C$15:$N$15</c:f>
              <c:numCache/>
            </c:numRef>
          </c:val>
        </c:ser>
        <c:ser>
          <c:idx val="1"/>
          <c:order val="1"/>
          <c:tx>
            <c:strRef>
              <c:f>'Expense Tracker'!$B$19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'Expense Tracker'!$C$19:$N$19</c:f>
              <c:numCache/>
            </c:numRef>
          </c:val>
        </c:ser>
        <c:ser>
          <c:idx val="2"/>
          <c:order val="2"/>
          <c:tx>
            <c:strRef>
              <c:f>'Expense Tracker'!$B$17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'Expense Tracker'!$C$17:$N$17</c:f>
              <c:numCache/>
            </c:numRef>
          </c:val>
        </c:ser>
        <c:ser>
          <c:idx val="3"/>
          <c:order val="3"/>
          <c:tx>
            <c:strRef>
              <c:f>'Expense Tracker'!$B$16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'Expense Tracker'!$C$16:$N$16</c:f>
              <c:numCache/>
            </c:numRef>
          </c:val>
        </c:ser>
        <c:ser>
          <c:idx val="4"/>
          <c:order val="4"/>
          <c:tx>
            <c:strRef>
              <c:f>'Expense Tracker'!$B$18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'Expense Tracker'!$C$18:$N$18</c:f>
              <c:numCache/>
            </c:numRef>
          </c:val>
        </c:ser>
        <c:overlap val="100"/>
        <c:axId val="1432069900"/>
        <c:axId val="542183248"/>
      </c:barChart>
      <c:catAx>
        <c:axId val="1432069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183248"/>
      </c:catAx>
      <c:valAx>
        <c:axId val="542183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069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571500</xdr:colOff>
      <xdr:row>1</xdr:row>
      <xdr:rowOff>161925</xdr:rowOff>
    </xdr:from>
    <xdr:ext cx="7210425" cy="4572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1123950</xdr:colOff>
      <xdr:row>27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0"/>
    <col customWidth="1" min="3" max="10" width="8.71"/>
    <col customWidth="1" min="11" max="11" width="10.71"/>
    <col customWidth="1" min="12" max="12" width="8.71"/>
    <col customWidth="1" min="13" max="13" width="10.29"/>
    <col customWidth="1" min="14" max="14" width="10.57"/>
    <col customWidth="1" min="15" max="15" width="8.71"/>
    <col customWidth="1" min="16" max="16" width="20.86"/>
    <col customWidth="1" min="17" max="2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</row>
    <row r="3">
      <c r="A3" s="1"/>
      <c r="B3" s="2" t="s">
        <v>0</v>
      </c>
      <c r="P3" s="1"/>
      <c r="Q3" s="1"/>
    </row>
    <row r="4">
      <c r="A4" s="1"/>
      <c r="B4" s="1"/>
      <c r="C4" s="3" t="s">
        <v>1</v>
      </c>
      <c r="D4" s="4"/>
      <c r="E4" s="5"/>
      <c r="F4" s="3" t="s">
        <v>2</v>
      </c>
      <c r="G4" s="4"/>
      <c r="H4" s="5"/>
      <c r="I4" s="3" t="s">
        <v>3</v>
      </c>
      <c r="J4" s="4"/>
      <c r="K4" s="5"/>
      <c r="L4" s="3" t="s">
        <v>4</v>
      </c>
      <c r="M4" s="4"/>
      <c r="N4" s="5"/>
      <c r="P4" s="1"/>
      <c r="Q4" s="1"/>
    </row>
    <row r="5">
      <c r="A5" s="1"/>
      <c r="B5" s="1"/>
      <c r="C5" s="6">
        <f>SUM(C12:N12)</f>
        <v>1035112</v>
      </c>
      <c r="D5" s="4"/>
      <c r="E5" s="5"/>
      <c r="F5" s="6">
        <f>SUM(C20:N20)</f>
        <v>907212</v>
      </c>
      <c r="G5" s="4"/>
      <c r="H5" s="5"/>
      <c r="I5" s="6">
        <f>SUM(C23:N23)</f>
        <v>127900</v>
      </c>
      <c r="J5" s="4"/>
      <c r="K5" s="5"/>
      <c r="L5" s="7">
        <f>I5/C5</f>
        <v>0.1235615083</v>
      </c>
      <c r="M5" s="4"/>
      <c r="N5" s="5"/>
      <c r="P5" s="1"/>
      <c r="Q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</row>
    <row r="7">
      <c r="A7" s="1"/>
      <c r="B7" s="8" t="s">
        <v>5</v>
      </c>
      <c r="P7" s="1"/>
    </row>
    <row r="8">
      <c r="A8" s="9"/>
      <c r="B8" s="9"/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P8" s="1"/>
    </row>
    <row r="9">
      <c r="A9" s="1"/>
      <c r="B9" s="1" t="s">
        <v>18</v>
      </c>
      <c r="C9" s="10">
        <v>55000.0</v>
      </c>
      <c r="D9" s="10">
        <v>55000.0</v>
      </c>
      <c r="E9" s="10">
        <v>55000.0</v>
      </c>
      <c r="F9" s="10">
        <v>55000.0</v>
      </c>
      <c r="G9" s="10">
        <v>55000.0</v>
      </c>
      <c r="H9" s="10">
        <v>55000.0</v>
      </c>
      <c r="I9" s="10">
        <v>60000.0</v>
      </c>
      <c r="J9" s="10">
        <v>60000.0</v>
      </c>
      <c r="K9" s="10">
        <v>60000.0</v>
      </c>
      <c r="L9" s="10">
        <v>60000.0</v>
      </c>
      <c r="M9" s="10">
        <v>60000.0</v>
      </c>
      <c r="N9" s="10">
        <v>60000.0</v>
      </c>
      <c r="P9" s="1"/>
    </row>
    <row r="10">
      <c r="A10" s="1"/>
      <c r="B10" s="1" t="s">
        <v>19</v>
      </c>
      <c r="C10" s="11">
        <f t="shared" ref="C10:N10" si="1">RANDBETWEEN(10000, 19000)</f>
        <v>10181</v>
      </c>
      <c r="D10" s="11">
        <f t="shared" si="1"/>
        <v>12270</v>
      </c>
      <c r="E10" s="11">
        <f t="shared" si="1"/>
        <v>17934</v>
      </c>
      <c r="F10" s="11">
        <f t="shared" si="1"/>
        <v>12787</v>
      </c>
      <c r="G10" s="11">
        <f t="shared" si="1"/>
        <v>14110</v>
      </c>
      <c r="H10" s="11">
        <f t="shared" si="1"/>
        <v>16921</v>
      </c>
      <c r="I10" s="11">
        <f t="shared" si="1"/>
        <v>10869</v>
      </c>
      <c r="J10" s="11">
        <f t="shared" si="1"/>
        <v>14529</v>
      </c>
      <c r="K10" s="11">
        <f t="shared" si="1"/>
        <v>15199</v>
      </c>
      <c r="L10" s="11">
        <f t="shared" si="1"/>
        <v>12271</v>
      </c>
      <c r="M10" s="11">
        <f t="shared" si="1"/>
        <v>16987</v>
      </c>
      <c r="N10" s="11">
        <f t="shared" si="1"/>
        <v>10927</v>
      </c>
      <c r="P10" s="1"/>
    </row>
    <row r="11">
      <c r="A11" s="1"/>
      <c r="B11" s="1" t="s">
        <v>20</v>
      </c>
      <c r="C11" s="11">
        <f t="shared" ref="C11:N11" si="2">RANDBETWEEN(10000, 19000)</f>
        <v>17086</v>
      </c>
      <c r="D11" s="11">
        <f t="shared" si="2"/>
        <v>17277</v>
      </c>
      <c r="E11" s="11">
        <f t="shared" si="2"/>
        <v>17681</v>
      </c>
      <c r="F11" s="11">
        <f t="shared" si="2"/>
        <v>17572</v>
      </c>
      <c r="G11" s="11">
        <f t="shared" si="2"/>
        <v>16044</v>
      </c>
      <c r="H11" s="11">
        <f t="shared" si="2"/>
        <v>15002</v>
      </c>
      <c r="I11" s="11">
        <f t="shared" si="2"/>
        <v>12491</v>
      </c>
      <c r="J11" s="11">
        <f t="shared" si="2"/>
        <v>16725</v>
      </c>
      <c r="K11" s="11">
        <f t="shared" si="2"/>
        <v>12225</v>
      </c>
      <c r="L11" s="11">
        <f t="shared" si="2"/>
        <v>10339</v>
      </c>
      <c r="M11" s="11">
        <f t="shared" si="2"/>
        <v>10293</v>
      </c>
      <c r="N11" s="11">
        <f t="shared" si="2"/>
        <v>17392</v>
      </c>
    </row>
    <row r="12">
      <c r="A12" s="1"/>
      <c r="B12" s="12" t="s">
        <v>21</v>
      </c>
      <c r="C12" s="13">
        <f t="shared" ref="C12:N12" si="3">SUM(C9:C11)</f>
        <v>82267</v>
      </c>
      <c r="D12" s="13">
        <f t="shared" si="3"/>
        <v>84547</v>
      </c>
      <c r="E12" s="13">
        <f t="shared" si="3"/>
        <v>90615</v>
      </c>
      <c r="F12" s="13">
        <f t="shared" si="3"/>
        <v>85359</v>
      </c>
      <c r="G12" s="13">
        <f t="shared" si="3"/>
        <v>85154</v>
      </c>
      <c r="H12" s="13">
        <f t="shared" si="3"/>
        <v>86923</v>
      </c>
      <c r="I12" s="13">
        <f t="shared" si="3"/>
        <v>83360</v>
      </c>
      <c r="J12" s="13">
        <f t="shared" si="3"/>
        <v>91254</v>
      </c>
      <c r="K12" s="13">
        <f t="shared" si="3"/>
        <v>87424</v>
      </c>
      <c r="L12" s="13">
        <f t="shared" si="3"/>
        <v>82610</v>
      </c>
      <c r="M12" s="13">
        <f t="shared" si="3"/>
        <v>87280</v>
      </c>
      <c r="N12" s="13">
        <f t="shared" si="3"/>
        <v>88319</v>
      </c>
    </row>
    <row r="13">
      <c r="A13" s="1"/>
      <c r="B13" s="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>
      <c r="A14" s="1"/>
      <c r="B14" s="14" t="s">
        <v>22</v>
      </c>
    </row>
    <row r="15">
      <c r="A15" s="1"/>
      <c r="B15" s="1" t="s">
        <v>23</v>
      </c>
      <c r="C15" s="10">
        <v>30000.0</v>
      </c>
      <c r="D15" s="10">
        <v>30000.0</v>
      </c>
      <c r="E15" s="10">
        <v>30000.0</v>
      </c>
      <c r="F15" s="10">
        <v>30000.0</v>
      </c>
      <c r="G15" s="10">
        <v>30000.0</v>
      </c>
      <c r="H15" s="10">
        <v>30000.0</v>
      </c>
      <c r="I15" s="10">
        <v>35000.0</v>
      </c>
      <c r="J15" s="10">
        <v>35000.0</v>
      </c>
      <c r="K15" s="10">
        <v>35000.0</v>
      </c>
      <c r="L15" s="10">
        <v>35000.0</v>
      </c>
      <c r="M15" s="10">
        <v>35000.0</v>
      </c>
      <c r="N15" s="10">
        <v>35000.0</v>
      </c>
    </row>
    <row r="16">
      <c r="A16" s="1"/>
      <c r="B16" s="1" t="s">
        <v>24</v>
      </c>
      <c r="C16" s="11">
        <f t="shared" ref="C16:N16" si="4">RANDBETWEEN(8000, 10000)</f>
        <v>9949</v>
      </c>
      <c r="D16" s="11">
        <f t="shared" si="4"/>
        <v>9100</v>
      </c>
      <c r="E16" s="11">
        <f t="shared" si="4"/>
        <v>9051</v>
      </c>
      <c r="F16" s="11">
        <f t="shared" si="4"/>
        <v>9718</v>
      </c>
      <c r="G16" s="11">
        <f t="shared" si="4"/>
        <v>8436</v>
      </c>
      <c r="H16" s="11">
        <f t="shared" si="4"/>
        <v>9210</v>
      </c>
      <c r="I16" s="11">
        <f t="shared" si="4"/>
        <v>9341</v>
      </c>
      <c r="J16" s="11">
        <f t="shared" si="4"/>
        <v>9319</v>
      </c>
      <c r="K16" s="11">
        <f t="shared" si="4"/>
        <v>8778</v>
      </c>
      <c r="L16" s="11">
        <f t="shared" si="4"/>
        <v>8571</v>
      </c>
      <c r="M16" s="11">
        <f t="shared" si="4"/>
        <v>8980</v>
      </c>
      <c r="N16" s="11">
        <f t="shared" si="4"/>
        <v>8245</v>
      </c>
    </row>
    <row r="17">
      <c r="A17" s="1"/>
      <c r="B17" s="1" t="s">
        <v>25</v>
      </c>
      <c r="C17" s="11">
        <f t="shared" ref="C17:N17" si="5">RANDBETWEEN(4000,5000)</f>
        <v>4319</v>
      </c>
      <c r="D17" s="11">
        <f t="shared" si="5"/>
        <v>4861</v>
      </c>
      <c r="E17" s="11">
        <f t="shared" si="5"/>
        <v>4450</v>
      </c>
      <c r="F17" s="11">
        <f t="shared" si="5"/>
        <v>4170</v>
      </c>
      <c r="G17" s="11">
        <f t="shared" si="5"/>
        <v>4360</v>
      </c>
      <c r="H17" s="11">
        <f t="shared" si="5"/>
        <v>4860</v>
      </c>
      <c r="I17" s="11">
        <f t="shared" si="5"/>
        <v>4177</v>
      </c>
      <c r="J17" s="11">
        <f t="shared" si="5"/>
        <v>4347</v>
      </c>
      <c r="K17" s="11">
        <f t="shared" si="5"/>
        <v>4492</v>
      </c>
      <c r="L17" s="11">
        <f t="shared" si="5"/>
        <v>4841</v>
      </c>
      <c r="M17" s="11">
        <f t="shared" si="5"/>
        <v>4219</v>
      </c>
      <c r="N17" s="11">
        <f t="shared" si="5"/>
        <v>4153</v>
      </c>
    </row>
    <row r="18">
      <c r="A18" s="1"/>
      <c r="B18" s="1" t="s">
        <v>26</v>
      </c>
      <c r="C18" s="11">
        <f t="shared" ref="C18:N18" si="6">RANDBETWEEN(19000, 20000)</f>
        <v>19821</v>
      </c>
      <c r="D18" s="11">
        <f t="shared" si="6"/>
        <v>19712</v>
      </c>
      <c r="E18" s="11">
        <f t="shared" si="6"/>
        <v>19316</v>
      </c>
      <c r="F18" s="11">
        <f t="shared" si="6"/>
        <v>19658</v>
      </c>
      <c r="G18" s="11">
        <f t="shared" si="6"/>
        <v>19904</v>
      </c>
      <c r="H18" s="11">
        <f t="shared" si="6"/>
        <v>19473</v>
      </c>
      <c r="I18" s="11">
        <f t="shared" si="6"/>
        <v>19019</v>
      </c>
      <c r="J18" s="11">
        <f t="shared" si="6"/>
        <v>19817</v>
      </c>
      <c r="K18" s="11">
        <f t="shared" si="6"/>
        <v>19301</v>
      </c>
      <c r="L18" s="11">
        <f t="shared" si="6"/>
        <v>19289</v>
      </c>
      <c r="M18" s="11">
        <f t="shared" si="6"/>
        <v>19975</v>
      </c>
      <c r="N18" s="11">
        <f t="shared" si="6"/>
        <v>19980</v>
      </c>
    </row>
    <row r="19">
      <c r="A19" s="1"/>
      <c r="B19" s="1" t="s">
        <v>27</v>
      </c>
      <c r="C19" s="10">
        <v>10000.0</v>
      </c>
      <c r="D19" s="10">
        <v>10000.0</v>
      </c>
      <c r="E19" s="10">
        <v>10000.0</v>
      </c>
      <c r="F19" s="10">
        <v>10000.0</v>
      </c>
      <c r="G19" s="10">
        <v>10000.0</v>
      </c>
      <c r="H19" s="10">
        <v>10000.0</v>
      </c>
      <c r="I19" s="10">
        <v>10000.0</v>
      </c>
      <c r="J19" s="10">
        <v>10000.0</v>
      </c>
      <c r="K19" s="10">
        <v>10000.0</v>
      </c>
      <c r="L19" s="10">
        <v>10000.0</v>
      </c>
      <c r="M19" s="10">
        <v>10000.0</v>
      </c>
      <c r="N19" s="10">
        <v>10000.0</v>
      </c>
    </row>
    <row r="20">
      <c r="A20" s="1"/>
      <c r="B20" s="12" t="s">
        <v>28</v>
      </c>
      <c r="C20" s="13">
        <f t="shared" ref="C20:N20" si="7">SUM(C15:C19)</f>
        <v>74089</v>
      </c>
      <c r="D20" s="13">
        <f t="shared" si="7"/>
        <v>73673</v>
      </c>
      <c r="E20" s="13">
        <f t="shared" si="7"/>
        <v>72817</v>
      </c>
      <c r="F20" s="13">
        <f t="shared" si="7"/>
        <v>73546</v>
      </c>
      <c r="G20" s="13">
        <f t="shared" si="7"/>
        <v>72700</v>
      </c>
      <c r="H20" s="13">
        <f t="shared" si="7"/>
        <v>73543</v>
      </c>
      <c r="I20" s="13">
        <f t="shared" si="7"/>
        <v>77537</v>
      </c>
      <c r="J20" s="13">
        <f t="shared" si="7"/>
        <v>78483</v>
      </c>
      <c r="K20" s="13">
        <f t="shared" si="7"/>
        <v>77571</v>
      </c>
      <c r="L20" s="13">
        <f t="shared" si="7"/>
        <v>77701</v>
      </c>
      <c r="M20" s="13">
        <f t="shared" si="7"/>
        <v>78174</v>
      </c>
      <c r="N20" s="13">
        <f t="shared" si="7"/>
        <v>77378</v>
      </c>
    </row>
    <row r="21">
      <c r="A21" s="9"/>
      <c r="B21" s="9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>
      <c r="A22" s="1"/>
      <c r="B22" s="15" t="s">
        <v>29</v>
      </c>
    </row>
    <row r="23">
      <c r="A23" s="1"/>
      <c r="B23" s="12" t="s">
        <v>30</v>
      </c>
      <c r="C23" s="13">
        <f t="shared" ref="C23:N23" si="8">C12-C20</f>
        <v>8178</v>
      </c>
      <c r="D23" s="13">
        <f t="shared" si="8"/>
        <v>10874</v>
      </c>
      <c r="E23" s="13">
        <f t="shared" si="8"/>
        <v>17798</v>
      </c>
      <c r="F23" s="13">
        <f t="shared" si="8"/>
        <v>11813</v>
      </c>
      <c r="G23" s="13">
        <f t="shared" si="8"/>
        <v>12454</v>
      </c>
      <c r="H23" s="13">
        <f t="shared" si="8"/>
        <v>13380</v>
      </c>
      <c r="I23" s="13">
        <f t="shared" si="8"/>
        <v>5823</v>
      </c>
      <c r="J23" s="13">
        <f t="shared" si="8"/>
        <v>12771</v>
      </c>
      <c r="K23" s="13">
        <f t="shared" si="8"/>
        <v>9853</v>
      </c>
      <c r="L23" s="13">
        <f t="shared" si="8"/>
        <v>4909</v>
      </c>
      <c r="M23" s="13">
        <f t="shared" si="8"/>
        <v>9106</v>
      </c>
      <c r="N23" s="13">
        <f t="shared" si="8"/>
        <v>10941</v>
      </c>
    </row>
    <row r="25">
      <c r="B25" s="15" t="s">
        <v>31</v>
      </c>
    </row>
    <row r="26">
      <c r="B26" s="12" t="s">
        <v>32</v>
      </c>
      <c r="C26" s="16">
        <f t="shared" ref="C26:N26" si="9">C23/C12</f>
        <v>0.09940802509</v>
      </c>
      <c r="D26" s="16">
        <f t="shared" si="9"/>
        <v>0.1286148533</v>
      </c>
      <c r="E26" s="16">
        <f t="shared" si="9"/>
        <v>0.1964133973</v>
      </c>
      <c r="F26" s="16">
        <f t="shared" si="9"/>
        <v>0.138391968</v>
      </c>
      <c r="G26" s="16">
        <f t="shared" si="9"/>
        <v>0.1462526716</v>
      </c>
      <c r="H26" s="16">
        <f t="shared" si="9"/>
        <v>0.1539293398</v>
      </c>
      <c r="I26" s="16">
        <f t="shared" si="9"/>
        <v>0.06985364683</v>
      </c>
      <c r="J26" s="16">
        <f t="shared" si="9"/>
        <v>0.1399500296</v>
      </c>
      <c r="K26" s="16">
        <f t="shared" si="9"/>
        <v>0.1127036054</v>
      </c>
      <c r="L26" s="16">
        <f t="shared" si="9"/>
        <v>0.05942379857</v>
      </c>
      <c r="M26" s="16">
        <f t="shared" si="9"/>
        <v>0.1043308891</v>
      </c>
      <c r="N26" s="16">
        <f t="shared" si="9"/>
        <v>0.1238804787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4">
    <mergeCell ref="I5:K5"/>
    <mergeCell ref="F4:H4"/>
    <mergeCell ref="C4:E4"/>
    <mergeCell ref="C5:E5"/>
    <mergeCell ref="F5:H5"/>
    <mergeCell ref="L4:N4"/>
    <mergeCell ref="B3:N3"/>
    <mergeCell ref="B7:N7"/>
    <mergeCell ref="P7:Q7"/>
    <mergeCell ref="B14:N14"/>
    <mergeCell ref="B22:N22"/>
    <mergeCell ref="I4:K4"/>
    <mergeCell ref="L5:N5"/>
    <mergeCell ref="B25:N25"/>
  </mergeCells>
  <conditionalFormatting sqref="C23:N23">
    <cfRule type="cellIs" dxfId="0" priority="1" operator="greaterThan">
      <formula>15000</formula>
    </cfRule>
  </conditionalFormatting>
  <conditionalFormatting sqref="C23:N23">
    <cfRule type="cellIs" dxfId="1" priority="2" operator="between">
      <formula>15000</formula>
      <formula>5000</formula>
    </cfRule>
  </conditionalFormatting>
  <conditionalFormatting sqref="C23:N23">
    <cfRule type="cellIs" dxfId="2" priority="3" operator="lessThan">
      <formula>5000</formula>
    </cfRule>
  </conditionalFormatting>
  <conditionalFormatting sqref="C23:N23">
    <cfRule type="cellIs" dxfId="3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